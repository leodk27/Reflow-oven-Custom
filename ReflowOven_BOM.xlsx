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7168d02b017eca6/Personal projects/EE/general custom PCBs/Reflow oven/"/>
    </mc:Choice>
  </mc:AlternateContent>
  <xr:revisionPtr revIDLastSave="120" documentId="11_32BF9D8B4BB7879321E8CFF14D1CC371C886E2A1" xr6:coauthVersionLast="47" xr6:coauthVersionMax="47" xr10:uidLastSave="{598D8C34-5912-4202-BA4E-FDA2EC42EF4B}"/>
  <bookViews>
    <workbookView xWindow="-108" yWindow="-108" windowWidth="23256" windowHeight="12456" activeTab="1" xr2:uid="{00000000-000D-0000-FFFF-FFFF00000000}"/>
  </bookViews>
  <sheets>
    <sheet name="BOM_Info" sheetId="1" r:id="rId1"/>
    <sheet name="BOM_Templa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2" l="1"/>
  <c r="K17" i="2"/>
  <c r="K3" i="2"/>
  <c r="K4" i="2"/>
  <c r="K5" i="2"/>
  <c r="K6" i="2"/>
  <c r="K7" i="2"/>
  <c r="K8" i="2"/>
  <c r="K9" i="2"/>
  <c r="K12" i="2"/>
  <c r="K13" i="2"/>
  <c r="K14" i="2"/>
  <c r="K15" i="2"/>
  <c r="K16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2" i="2"/>
</calcChain>
</file>

<file path=xl/sharedStrings.xml><?xml version="1.0" encoding="utf-8"?>
<sst xmlns="http://schemas.openxmlformats.org/spreadsheetml/2006/main" count="132" uniqueCount="99">
  <si>
    <t>KES – Bill of Materials (BOM) Template Guide</t>
  </si>
  <si>
    <t>How to use this file:</t>
  </si>
  <si>
    <t>- Sheet 'BOM_Template' is the clean template you copy for each new project.</t>
  </si>
  <si>
    <t>- Each row is one component or module.</t>
  </si>
  <si>
    <t>- Fill in at least: Quantity, Part Number, Description, Package, Supplier, Supplier Part No., Unit Price.</t>
  </si>
  <si>
    <t>- You can add more columns later (e.g. Voltage Rating, Tolerance, Power).</t>
  </si>
  <si>
    <t>Column</t>
  </si>
  <si>
    <t>Meaning</t>
  </si>
  <si>
    <t>Example Value</t>
  </si>
  <si>
    <t>Item</t>
  </si>
  <si>
    <t>Line number / index for reference in schematics or notes.</t>
  </si>
  <si>
    <t>1</t>
  </si>
  <si>
    <t>Quantity</t>
  </si>
  <si>
    <t>How many of this part are used on the PCB/assembly.</t>
  </si>
  <si>
    <t>10</t>
  </si>
  <si>
    <t>Part Number</t>
  </si>
  <si>
    <t>Your internal or the manufacturer’s part number.</t>
  </si>
  <si>
    <t>CRCW060310K0FKEAC</t>
  </si>
  <si>
    <t>Description</t>
  </si>
  <si>
    <t>Short functional description.</t>
  </si>
  <si>
    <t>Resistor 10 kΩ 1% 0.1 W</t>
  </si>
  <si>
    <t>Package</t>
  </si>
  <si>
    <t>Physical package / footprint.</t>
  </si>
  <si>
    <t>0603</t>
  </si>
  <si>
    <t>Supplier</t>
  </si>
  <si>
    <t>Main supplier you’ll order from.</t>
  </si>
  <si>
    <t>Digi-Key</t>
  </si>
  <si>
    <t>Supplier Part No.</t>
  </si>
  <si>
    <t>Part number used by the supplier.</t>
  </si>
  <si>
    <t>541-10.0KHTR-ND</t>
  </si>
  <si>
    <t>Unit Price</t>
  </si>
  <si>
    <t>Net price per single unit (without VAT).</t>
  </si>
  <si>
    <t>0.012 €</t>
  </si>
  <si>
    <t>Notes</t>
  </si>
  <si>
    <t>Anything special: voltage rating, temp, critical, alt parts, etc.</t>
  </si>
  <si>
    <t>Alt: Yageo RC0603FR-0710KL</t>
  </si>
  <si>
    <t>Example BOM row:</t>
  </si>
  <si>
    <t>Input divider R1, keep 1%</t>
  </si>
  <si>
    <t>New Columns Added:</t>
  </si>
  <si>
    <t>Manufacturer</t>
  </si>
  <si>
    <t>Brand or IC manufacturer</t>
  </si>
  <si>
    <t>Texas Instruments</t>
  </si>
  <si>
    <t>Total Cost (€)</t>
  </si>
  <si>
    <t>Auto-calculated = Quantity × Unit Price</t>
  </si>
  <si>
    <t>0.12</t>
  </si>
  <si>
    <t>MOV-14D431KTR</t>
  </si>
  <si>
    <t>Bourns</t>
  </si>
  <si>
    <t>MOV - series varistor</t>
  </si>
  <si>
    <t>14mm disk</t>
  </si>
  <si>
    <t>digikey</t>
  </si>
  <si>
    <t>https://www.bourns.com/docs/Product-Datasheets/MOV14D.pdf</t>
  </si>
  <si>
    <t>890334025017CS</t>
  </si>
  <si>
    <t>Würth electronics</t>
  </si>
  <si>
    <t>Mains capacitor (snubber)</t>
  </si>
  <si>
    <t>Radial</t>
  </si>
  <si>
    <t>https://www.we-online.com/components/products/datasheet/890334025017CS.pdf</t>
  </si>
  <si>
    <t>710-890334025017CS</t>
  </si>
  <si>
    <t>mouser</t>
  </si>
  <si>
    <t>RR01J100RTB</t>
  </si>
  <si>
    <t>TE connectivity</t>
  </si>
  <si>
    <t>Mains resistor (snubber)</t>
  </si>
  <si>
    <t>279-RR01J100RTB</t>
  </si>
  <si>
    <t>Axial-THT</t>
  </si>
  <si>
    <t>https://www.te.com/commerce/DocumentDelivery/DDEController?Action=srchrtrv&amp;DocNm=3-1773449-2&amp;DocType=Data%20Sheet&amp;DocLang=English&amp;DocFormat=pdf&amp;PartCntxt=6-1879350-5</t>
  </si>
  <si>
    <t>MTJ-88ARX1-FSM-LG</t>
  </si>
  <si>
    <t>737-MTJ88ARX1FSMLG</t>
  </si>
  <si>
    <t>ADAMTECH</t>
  </si>
  <si>
    <t>THT</t>
  </si>
  <si>
    <t>RJ45 PCB connector</t>
  </si>
  <si>
    <t>https://www.mouser.at/datasheet/3/6015/1/mtj_88arx1_fsm_lg_data_sheet.pdf</t>
  </si>
  <si>
    <t>926-LM4030CMF25NOPB</t>
  </si>
  <si>
    <t>LM4030CMF-2.5/NOPB</t>
  </si>
  <si>
    <t xml:space="preserve">Shunt reference </t>
  </si>
  <si>
    <t>SOT-23-5</t>
  </si>
  <si>
    <t>https://www.ti.com/lit/ds/symlink/lm4030.pdf?ts=1774101850147&amp;ref_url=https%253A%252F%252Fwww.google.com%252F</t>
  </si>
  <si>
    <t>Texas Insutrments</t>
  </si>
  <si>
    <t>693-0031.8201</t>
  </si>
  <si>
    <t>"0031.8201"</t>
  </si>
  <si>
    <t>Schurter</t>
  </si>
  <si>
    <t>PCB fuse holder</t>
  </si>
  <si>
    <t>5x20mm THT</t>
  </si>
  <si>
    <t>https://www.schurter.com/en/datasheet/typ_OGN.pdf</t>
  </si>
  <si>
    <t>NTCLE213E3103GHB0</t>
  </si>
  <si>
    <t>Vishay</t>
  </si>
  <si>
    <t>NTC thermistor</t>
  </si>
  <si>
    <t>594-NTCLE213E3103GHB</t>
  </si>
  <si>
    <t>https://www.vishay.com/docs/29154/ntcle213e3.pdf</t>
  </si>
  <si>
    <t>long leads, bead, THT, 10k</t>
  </si>
  <si>
    <t>BZT52C6V8-7-F</t>
  </si>
  <si>
    <t xml:space="preserve">Diodes Inc. </t>
  </si>
  <si>
    <t>Zener diode 6.8V</t>
  </si>
  <si>
    <t>621-BZT52C6V8-F</t>
  </si>
  <si>
    <t>https://4donline.ihs.com/images/VipMasterIC/IC/DIOD/DIOD-S-A0003550684/DIOD-S-A0003550684-1.pdf?hkey=CECEF36DEECDED6468708AAF2E19C0C6</t>
  </si>
  <si>
    <t>https://www.mouser.at/datasheet/3/175/1/DMP68D1LQ.pdf</t>
  </si>
  <si>
    <t>621-DMP68D1LQ-7</t>
  </si>
  <si>
    <t>DMP68D1LQ-7</t>
  </si>
  <si>
    <t>PMOS for verse polarity prot.</t>
  </si>
  <si>
    <t>SOT-23-3</t>
  </si>
  <si>
    <t>SOD-123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</si>
</sst>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u/>
      <sz val="11"/>
      <color theme="10"/>
      <name val="Calibri"/>
      <family val="2"/>
      <scheme val="minor"/>
    </font>
    <font>
      <sz val="10"/>
      <color rgb="FF333333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4" fillId="0" borderId="0" xfId="0" applyFont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4donline.ihs.com/images/VipMasterIC/IC/DIOD/DIOD-S-A0003550684/DIOD-S-A0003550684-1.pdf?hkey=CECEF36DEECDED6468708AAF2E19C0C6" TargetMode="External"/><Relationship Id="rId3" Type="http://schemas.openxmlformats.org/officeDocument/2006/relationships/hyperlink" Target="https://www.te.com/commerce/DocumentDelivery/DDEController?Action=srchrtrv&amp;DocNm=3-1773449-2&amp;DocType=Data%20Sheet&amp;DocLang=English&amp;DocFormat=pdf&amp;PartCntxt=6-1879350-5" TargetMode="External"/><Relationship Id="rId7" Type="http://schemas.openxmlformats.org/officeDocument/2006/relationships/hyperlink" Target="https://www.vishay.com/docs/29154/ntcle213e3.pdf" TargetMode="External"/><Relationship Id="rId2" Type="http://schemas.openxmlformats.org/officeDocument/2006/relationships/hyperlink" Target="https://www.we-online.com/components/products/datasheet/890334025017CS.pdf" TargetMode="External"/><Relationship Id="rId1" Type="http://schemas.openxmlformats.org/officeDocument/2006/relationships/hyperlink" Target="https://www.bourns.com/docs/Product-Datasheets/MOV14D.pdf" TargetMode="External"/><Relationship Id="rId6" Type="http://schemas.openxmlformats.org/officeDocument/2006/relationships/hyperlink" Target="https://www.schurter.com/en/datasheet/typ_OGN.pdf" TargetMode="External"/><Relationship Id="rId5" Type="http://schemas.openxmlformats.org/officeDocument/2006/relationships/hyperlink" Target="https://www.ti.com/lit/ds/symlink/lm4030.pdf?ts=1774101850147&amp;ref_url=https%253A%252F%252Fwww.google.com%252F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www.mouser.at/datasheet/3/6015/1/mtj_88arx1_fsm_lg_data_sheet.pdf" TargetMode="External"/><Relationship Id="rId9" Type="http://schemas.openxmlformats.org/officeDocument/2006/relationships/hyperlink" Target="https://www.mouser.at/datasheet/3/175/1/DMP68D1LQ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topLeftCell="A14" workbookViewId="0"/>
  </sheetViews>
  <sheetFormatPr defaultRowHeight="14.4" x14ac:dyDescent="0.3"/>
  <cols>
    <col min="1" max="1" width="18" customWidth="1"/>
    <col min="2" max="2" width="45" customWidth="1"/>
    <col min="3" max="3" width="30" customWidth="1"/>
    <col min="4" max="9" width="18" customWidth="1"/>
  </cols>
  <sheetData>
    <row r="1" spans="1:3" ht="18" x14ac:dyDescent="0.35">
      <c r="A1" s="1" t="s">
        <v>0</v>
      </c>
    </row>
    <row r="3" spans="1:3" x14ac:dyDescent="0.3">
      <c r="A3" t="s">
        <v>1</v>
      </c>
    </row>
    <row r="4" spans="1:3" x14ac:dyDescent="0.3">
      <c r="A4" t="s">
        <v>2</v>
      </c>
    </row>
    <row r="5" spans="1:3" x14ac:dyDescent="0.3">
      <c r="A5" t="s">
        <v>3</v>
      </c>
    </row>
    <row r="6" spans="1:3" x14ac:dyDescent="0.3">
      <c r="A6" t="s">
        <v>4</v>
      </c>
    </row>
    <row r="7" spans="1:3" x14ac:dyDescent="0.3">
      <c r="A7" t="s">
        <v>5</v>
      </c>
    </row>
    <row r="9" spans="1:3" x14ac:dyDescent="0.3">
      <c r="A9" s="2" t="s">
        <v>6</v>
      </c>
      <c r="B9" s="2" t="s">
        <v>7</v>
      </c>
      <c r="C9" s="2" t="s">
        <v>8</v>
      </c>
    </row>
    <row r="10" spans="1:3" x14ac:dyDescent="0.3">
      <c r="A10" t="s">
        <v>9</v>
      </c>
      <c r="B10" t="s">
        <v>10</v>
      </c>
      <c r="C10" t="s">
        <v>11</v>
      </c>
    </row>
    <row r="11" spans="1:3" x14ac:dyDescent="0.3">
      <c r="A11" t="s">
        <v>12</v>
      </c>
      <c r="B11" t="s">
        <v>13</v>
      </c>
      <c r="C11" t="s">
        <v>14</v>
      </c>
    </row>
    <row r="12" spans="1:3" x14ac:dyDescent="0.3">
      <c r="A12" t="s">
        <v>15</v>
      </c>
      <c r="B12" t="s">
        <v>16</v>
      </c>
      <c r="C12" t="s">
        <v>17</v>
      </c>
    </row>
    <row r="13" spans="1:3" x14ac:dyDescent="0.3">
      <c r="A13" t="s">
        <v>18</v>
      </c>
      <c r="B13" t="s">
        <v>19</v>
      </c>
      <c r="C13" t="s">
        <v>20</v>
      </c>
    </row>
    <row r="14" spans="1:3" x14ac:dyDescent="0.3">
      <c r="A14" t="s">
        <v>21</v>
      </c>
      <c r="B14" t="s">
        <v>22</v>
      </c>
      <c r="C14" t="s">
        <v>23</v>
      </c>
    </row>
    <row r="15" spans="1:3" x14ac:dyDescent="0.3">
      <c r="A15" t="s">
        <v>24</v>
      </c>
      <c r="B15" t="s">
        <v>25</v>
      </c>
      <c r="C15" t="s">
        <v>26</v>
      </c>
    </row>
    <row r="16" spans="1:3" x14ac:dyDescent="0.3">
      <c r="A16" t="s">
        <v>27</v>
      </c>
      <c r="B16" t="s">
        <v>28</v>
      </c>
      <c r="C16" t="s">
        <v>29</v>
      </c>
    </row>
    <row r="17" spans="1:9" x14ac:dyDescent="0.3">
      <c r="A17" t="s">
        <v>30</v>
      </c>
      <c r="B17" t="s">
        <v>31</v>
      </c>
      <c r="C17" t="s">
        <v>32</v>
      </c>
    </row>
    <row r="18" spans="1:9" x14ac:dyDescent="0.3">
      <c r="A18" t="s">
        <v>33</v>
      </c>
      <c r="B18" t="s">
        <v>34</v>
      </c>
      <c r="C18" t="s">
        <v>35</v>
      </c>
    </row>
    <row r="21" spans="1:9" x14ac:dyDescent="0.3">
      <c r="A21" s="2" t="s">
        <v>36</v>
      </c>
    </row>
    <row r="22" spans="1:9" x14ac:dyDescent="0.3">
      <c r="A22" s="2" t="s">
        <v>9</v>
      </c>
      <c r="B22" s="2" t="s">
        <v>12</v>
      </c>
      <c r="C22" s="2" t="s">
        <v>15</v>
      </c>
      <c r="D22" s="2" t="s">
        <v>18</v>
      </c>
      <c r="E22" s="2" t="s">
        <v>21</v>
      </c>
      <c r="F22" s="2" t="s">
        <v>24</v>
      </c>
      <c r="G22" s="2" t="s">
        <v>27</v>
      </c>
      <c r="H22" s="2" t="s">
        <v>30</v>
      </c>
      <c r="I22" s="2" t="s">
        <v>33</v>
      </c>
    </row>
    <row r="23" spans="1:9" x14ac:dyDescent="0.3">
      <c r="A23">
        <v>1</v>
      </c>
      <c r="B23">
        <v>10</v>
      </c>
      <c r="C23" t="s">
        <v>17</v>
      </c>
      <c r="D23" t="s">
        <v>20</v>
      </c>
      <c r="E23" t="s">
        <v>23</v>
      </c>
      <c r="F23" t="s">
        <v>26</v>
      </c>
      <c r="G23" t="s">
        <v>29</v>
      </c>
      <c r="H23">
        <v>1.2E-2</v>
      </c>
      <c r="I23" t="s">
        <v>37</v>
      </c>
    </row>
    <row r="25" spans="1:9" x14ac:dyDescent="0.3">
      <c r="A25" t="s">
        <v>38</v>
      </c>
    </row>
    <row r="26" spans="1:9" x14ac:dyDescent="0.3">
      <c r="A26" t="s">
        <v>39</v>
      </c>
      <c r="B26" t="s">
        <v>40</v>
      </c>
      <c r="C26" t="s">
        <v>41</v>
      </c>
    </row>
    <row r="27" spans="1:9" x14ac:dyDescent="0.3">
      <c r="A27" t="s">
        <v>42</v>
      </c>
      <c r="B27" t="s">
        <v>43</v>
      </c>
      <c r="C27" t="s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1"/>
  <sheetViews>
    <sheetView tabSelected="1" workbookViewId="0">
      <selection activeCell="F10" sqref="F10"/>
    </sheetView>
  </sheetViews>
  <sheetFormatPr defaultRowHeight="14.4" x14ac:dyDescent="0.3"/>
  <cols>
    <col min="1" max="11" width="18" customWidth="1"/>
  </cols>
  <sheetData>
    <row r="1" spans="1:11" x14ac:dyDescent="0.3">
      <c r="A1" s="2" t="s">
        <v>9</v>
      </c>
      <c r="B1" s="2" t="s">
        <v>12</v>
      </c>
      <c r="C1" s="2" t="s">
        <v>15</v>
      </c>
      <c r="D1" s="2" t="s">
        <v>39</v>
      </c>
      <c r="E1" s="2" t="s">
        <v>18</v>
      </c>
      <c r="F1" s="2" t="s">
        <v>21</v>
      </c>
      <c r="G1" s="2" t="s">
        <v>24</v>
      </c>
      <c r="H1" s="2" t="s">
        <v>27</v>
      </c>
      <c r="I1" s="2" t="s">
        <v>30</v>
      </c>
      <c r="J1" s="2" t="s">
        <v>33</v>
      </c>
      <c r="K1" s="2" t="s">
        <v>42</v>
      </c>
    </row>
    <row r="2" spans="1:11" x14ac:dyDescent="0.3">
      <c r="A2">
        <v>1</v>
      </c>
      <c r="B2" s="5">
        <v>1</v>
      </c>
      <c r="C2" s="5" t="s">
        <v>45</v>
      </c>
      <c r="D2" s="5" t="s">
        <v>46</v>
      </c>
      <c r="E2" s="5" t="s">
        <v>47</v>
      </c>
      <c r="F2" s="5" t="s">
        <v>48</v>
      </c>
      <c r="G2" s="5" t="s">
        <v>49</v>
      </c>
      <c r="H2" s="5"/>
      <c r="I2" s="5"/>
      <c r="J2" s="3" t="s">
        <v>50</v>
      </c>
      <c r="K2">
        <f>B2*I2</f>
        <v>0</v>
      </c>
    </row>
    <row r="3" spans="1:11" x14ac:dyDescent="0.3">
      <c r="A3">
        <v>2</v>
      </c>
      <c r="B3" s="5">
        <v>2</v>
      </c>
      <c r="C3" s="4" t="s">
        <v>77</v>
      </c>
      <c r="D3" s="5" t="s">
        <v>78</v>
      </c>
      <c r="E3" s="5" t="s">
        <v>79</v>
      </c>
      <c r="F3" s="5" t="s">
        <v>80</v>
      </c>
      <c r="G3" s="5" t="s">
        <v>57</v>
      </c>
      <c r="H3" s="4" t="s">
        <v>76</v>
      </c>
      <c r="I3" s="5">
        <v>0.90300000000000002</v>
      </c>
      <c r="J3" s="3" t="s">
        <v>81</v>
      </c>
      <c r="K3">
        <f t="shared" ref="K3:K51" si="0">B3*I3</f>
        <v>1.806</v>
      </c>
    </row>
    <row r="4" spans="1:11" x14ac:dyDescent="0.3">
      <c r="A4">
        <v>3</v>
      </c>
      <c r="B4" s="5">
        <v>1</v>
      </c>
      <c r="C4" s="5" t="s">
        <v>64</v>
      </c>
      <c r="D4" s="5" t="s">
        <v>66</v>
      </c>
      <c r="E4" s="5" t="s">
        <v>68</v>
      </c>
      <c r="F4" s="5" t="s">
        <v>67</v>
      </c>
      <c r="G4" s="5" t="s">
        <v>57</v>
      </c>
      <c r="H4" s="5" t="s">
        <v>65</v>
      </c>
      <c r="I4" s="5">
        <v>1.22</v>
      </c>
      <c r="J4" s="3" t="s">
        <v>69</v>
      </c>
      <c r="K4">
        <f t="shared" si="0"/>
        <v>1.22</v>
      </c>
    </row>
    <row r="5" spans="1:11" x14ac:dyDescent="0.3">
      <c r="A5">
        <v>4</v>
      </c>
      <c r="K5">
        <f t="shared" si="0"/>
        <v>0</v>
      </c>
    </row>
    <row r="6" spans="1:11" x14ac:dyDescent="0.3">
      <c r="A6">
        <v>5</v>
      </c>
      <c r="K6">
        <f t="shared" si="0"/>
        <v>0</v>
      </c>
    </row>
    <row r="7" spans="1:11" x14ac:dyDescent="0.3">
      <c r="A7">
        <v>6</v>
      </c>
      <c r="B7">
        <v>1</v>
      </c>
      <c r="C7" s="4" t="s">
        <v>71</v>
      </c>
      <c r="D7" t="s">
        <v>75</v>
      </c>
      <c r="E7" t="s">
        <v>72</v>
      </c>
      <c r="F7" t="s">
        <v>73</v>
      </c>
      <c r="G7" t="s">
        <v>57</v>
      </c>
      <c r="H7" s="4" t="s">
        <v>70</v>
      </c>
      <c r="I7">
        <v>1.32</v>
      </c>
      <c r="J7" s="3" t="s">
        <v>74</v>
      </c>
      <c r="K7">
        <f t="shared" si="0"/>
        <v>1.32</v>
      </c>
    </row>
    <row r="8" spans="1:11" x14ac:dyDescent="0.3">
      <c r="A8">
        <v>7</v>
      </c>
      <c r="B8">
        <v>1</v>
      </c>
      <c r="C8" s="4" t="s">
        <v>95</v>
      </c>
      <c r="D8" t="s">
        <v>89</v>
      </c>
      <c r="E8" t="s">
        <v>96</v>
      </c>
      <c r="F8" t="s">
        <v>97</v>
      </c>
      <c r="G8" t="s">
        <v>57</v>
      </c>
      <c r="H8" s="4" t="s">
        <v>94</v>
      </c>
      <c r="I8">
        <v>0.129</v>
      </c>
      <c r="J8" s="3" t="s">
        <v>93</v>
      </c>
      <c r="K8">
        <f t="shared" si="0"/>
        <v>0.129</v>
      </c>
    </row>
    <row r="9" spans="1:11" x14ac:dyDescent="0.3">
      <c r="A9">
        <v>8</v>
      </c>
      <c r="B9">
        <v>1</v>
      </c>
      <c r="C9" t="s">
        <v>88</v>
      </c>
      <c r="D9" t="s">
        <v>89</v>
      </c>
      <c r="E9" t="s">
        <v>90</v>
      </c>
      <c r="F9" t="s">
        <v>98</v>
      </c>
      <c r="G9" t="s">
        <v>57</v>
      </c>
      <c r="H9" s="4" t="s">
        <v>91</v>
      </c>
      <c r="I9">
        <v>0.16300000000000001</v>
      </c>
      <c r="J9" s="3" t="s">
        <v>92</v>
      </c>
      <c r="K9">
        <f t="shared" si="0"/>
        <v>0.16300000000000001</v>
      </c>
    </row>
    <row r="10" spans="1:11" x14ac:dyDescent="0.3">
      <c r="A10">
        <v>9</v>
      </c>
    </row>
    <row r="11" spans="1:11" x14ac:dyDescent="0.3">
      <c r="A11">
        <v>10</v>
      </c>
      <c r="K11">
        <f>B11*I11</f>
        <v>0</v>
      </c>
    </row>
    <row r="12" spans="1:11" x14ac:dyDescent="0.3">
      <c r="A12">
        <v>11</v>
      </c>
      <c r="K12">
        <f t="shared" si="0"/>
        <v>0</v>
      </c>
    </row>
    <row r="13" spans="1:11" x14ac:dyDescent="0.3">
      <c r="A13">
        <v>12</v>
      </c>
      <c r="K13">
        <f t="shared" si="0"/>
        <v>0</v>
      </c>
    </row>
    <row r="14" spans="1:11" x14ac:dyDescent="0.3">
      <c r="A14">
        <v>13</v>
      </c>
      <c r="K14">
        <f t="shared" si="0"/>
        <v>0</v>
      </c>
    </row>
    <row r="15" spans="1:11" x14ac:dyDescent="0.3">
      <c r="A15">
        <v>14</v>
      </c>
      <c r="K15">
        <f t="shared" si="0"/>
        <v>0</v>
      </c>
    </row>
    <row r="16" spans="1:11" x14ac:dyDescent="0.3">
      <c r="A16">
        <v>15</v>
      </c>
      <c r="K16">
        <f t="shared" si="0"/>
        <v>0</v>
      </c>
    </row>
    <row r="17" spans="1:11" x14ac:dyDescent="0.3">
      <c r="A17">
        <v>16</v>
      </c>
      <c r="B17">
        <v>1</v>
      </c>
      <c r="C17" t="s">
        <v>51</v>
      </c>
      <c r="D17" t="s">
        <v>52</v>
      </c>
      <c r="E17" t="s">
        <v>53</v>
      </c>
      <c r="F17" t="s">
        <v>54</v>
      </c>
      <c r="G17" t="s">
        <v>57</v>
      </c>
      <c r="H17" s="4" t="s">
        <v>56</v>
      </c>
      <c r="I17">
        <v>0.378</v>
      </c>
      <c r="J17" s="3" t="s">
        <v>55</v>
      </c>
      <c r="K17">
        <f>B17*I17</f>
        <v>0.378</v>
      </c>
    </row>
    <row r="18" spans="1:11" x14ac:dyDescent="0.3">
      <c r="A18">
        <v>17</v>
      </c>
      <c r="K18">
        <f t="shared" si="0"/>
        <v>0</v>
      </c>
    </row>
    <row r="19" spans="1:11" x14ac:dyDescent="0.3">
      <c r="A19">
        <v>18</v>
      </c>
      <c r="K19">
        <f t="shared" si="0"/>
        <v>0</v>
      </c>
    </row>
    <row r="20" spans="1:11" x14ac:dyDescent="0.3">
      <c r="A20">
        <v>19</v>
      </c>
      <c r="K20">
        <f t="shared" si="0"/>
        <v>0</v>
      </c>
    </row>
    <row r="21" spans="1:11" x14ac:dyDescent="0.3">
      <c r="A21">
        <v>20</v>
      </c>
      <c r="K21">
        <f t="shared" si="0"/>
        <v>0</v>
      </c>
    </row>
    <row r="22" spans="1:11" x14ac:dyDescent="0.3">
      <c r="A22">
        <v>21</v>
      </c>
      <c r="K22">
        <f t="shared" si="0"/>
        <v>0</v>
      </c>
    </row>
    <row r="23" spans="1:11" x14ac:dyDescent="0.3">
      <c r="A23">
        <v>22</v>
      </c>
      <c r="B23">
        <v>1</v>
      </c>
      <c r="C23" t="s">
        <v>58</v>
      </c>
      <c r="D23" t="s">
        <v>59</v>
      </c>
      <c r="E23" t="s">
        <v>60</v>
      </c>
      <c r="F23" t="s">
        <v>62</v>
      </c>
      <c r="G23" t="s">
        <v>57</v>
      </c>
      <c r="H23" s="4" t="s">
        <v>61</v>
      </c>
      <c r="I23">
        <v>0.18099999999999999</v>
      </c>
      <c r="J23" s="3" t="s">
        <v>63</v>
      </c>
      <c r="K23">
        <f t="shared" si="0"/>
        <v>0.18099999999999999</v>
      </c>
    </row>
    <row r="24" spans="1:11" x14ac:dyDescent="0.3">
      <c r="A24">
        <v>23</v>
      </c>
      <c r="K24">
        <f t="shared" si="0"/>
        <v>0</v>
      </c>
    </row>
    <row r="25" spans="1:11" x14ac:dyDescent="0.3">
      <c r="A25">
        <v>24</v>
      </c>
      <c r="K25">
        <f t="shared" si="0"/>
        <v>0</v>
      </c>
    </row>
    <row r="26" spans="1:11" x14ac:dyDescent="0.3">
      <c r="A26">
        <v>25</v>
      </c>
      <c r="K26">
        <f t="shared" si="0"/>
        <v>0</v>
      </c>
    </row>
    <row r="27" spans="1:11" x14ac:dyDescent="0.3">
      <c r="A27">
        <v>26</v>
      </c>
      <c r="K27">
        <f t="shared" si="0"/>
        <v>0</v>
      </c>
    </row>
    <row r="28" spans="1:11" x14ac:dyDescent="0.3">
      <c r="A28">
        <v>27</v>
      </c>
      <c r="K28">
        <f t="shared" si="0"/>
        <v>0</v>
      </c>
    </row>
    <row r="29" spans="1:11" x14ac:dyDescent="0.3">
      <c r="A29">
        <v>28</v>
      </c>
      <c r="K29">
        <f t="shared" si="0"/>
        <v>0</v>
      </c>
    </row>
    <row r="30" spans="1:11" x14ac:dyDescent="0.3">
      <c r="A30">
        <v>29</v>
      </c>
      <c r="K30">
        <f t="shared" si="0"/>
        <v>0</v>
      </c>
    </row>
    <row r="31" spans="1:11" x14ac:dyDescent="0.3">
      <c r="A31">
        <v>30</v>
      </c>
      <c r="B31">
        <v>1</v>
      </c>
      <c r="C31" t="s">
        <v>82</v>
      </c>
      <c r="D31" t="s">
        <v>83</v>
      </c>
      <c r="E31" t="s">
        <v>84</v>
      </c>
      <c r="F31" t="s">
        <v>87</v>
      </c>
      <c r="G31" t="s">
        <v>57</v>
      </c>
      <c r="H31" s="4" t="s">
        <v>85</v>
      </c>
      <c r="I31">
        <v>0.72199999999999998</v>
      </c>
      <c r="J31" s="3" t="s">
        <v>86</v>
      </c>
      <c r="K31">
        <f t="shared" si="0"/>
        <v>0.72199999999999998</v>
      </c>
    </row>
    <row r="32" spans="1:11" x14ac:dyDescent="0.3">
      <c r="A32">
        <v>31</v>
      </c>
      <c r="K32">
        <f t="shared" si="0"/>
        <v>0</v>
      </c>
    </row>
    <row r="33" spans="1:11" x14ac:dyDescent="0.3">
      <c r="A33">
        <v>32</v>
      </c>
      <c r="K33">
        <f t="shared" si="0"/>
        <v>0</v>
      </c>
    </row>
    <row r="34" spans="1:11" x14ac:dyDescent="0.3">
      <c r="A34">
        <v>33</v>
      </c>
      <c r="K34">
        <f t="shared" si="0"/>
        <v>0</v>
      </c>
    </row>
    <row r="35" spans="1:11" x14ac:dyDescent="0.3">
      <c r="A35">
        <v>34</v>
      </c>
      <c r="K35">
        <f t="shared" si="0"/>
        <v>0</v>
      </c>
    </row>
    <row r="36" spans="1:11" x14ac:dyDescent="0.3">
      <c r="A36">
        <v>35</v>
      </c>
      <c r="K36">
        <f t="shared" si="0"/>
        <v>0</v>
      </c>
    </row>
    <row r="37" spans="1:11" x14ac:dyDescent="0.3">
      <c r="A37">
        <v>36</v>
      </c>
      <c r="K37">
        <f t="shared" si="0"/>
        <v>0</v>
      </c>
    </row>
    <row r="38" spans="1:11" x14ac:dyDescent="0.3">
      <c r="A38">
        <v>37</v>
      </c>
      <c r="K38">
        <f t="shared" si="0"/>
        <v>0</v>
      </c>
    </row>
    <row r="39" spans="1:11" x14ac:dyDescent="0.3">
      <c r="A39">
        <v>38</v>
      </c>
      <c r="K39">
        <f t="shared" si="0"/>
        <v>0</v>
      </c>
    </row>
    <row r="40" spans="1:11" x14ac:dyDescent="0.3">
      <c r="A40">
        <v>39</v>
      </c>
      <c r="K40">
        <f t="shared" si="0"/>
        <v>0</v>
      </c>
    </row>
    <row r="41" spans="1:11" x14ac:dyDescent="0.3">
      <c r="A41">
        <v>40</v>
      </c>
      <c r="K41">
        <f t="shared" si="0"/>
        <v>0</v>
      </c>
    </row>
    <row r="42" spans="1:11" x14ac:dyDescent="0.3">
      <c r="A42">
        <v>41</v>
      </c>
      <c r="K42">
        <f t="shared" si="0"/>
        <v>0</v>
      </c>
    </row>
    <row r="43" spans="1:11" x14ac:dyDescent="0.3">
      <c r="A43">
        <v>42</v>
      </c>
      <c r="K43">
        <f t="shared" si="0"/>
        <v>0</v>
      </c>
    </row>
    <row r="44" spans="1:11" x14ac:dyDescent="0.3">
      <c r="A44">
        <v>43</v>
      </c>
      <c r="K44">
        <f t="shared" si="0"/>
        <v>0</v>
      </c>
    </row>
    <row r="45" spans="1:11" x14ac:dyDescent="0.3">
      <c r="A45">
        <v>44</v>
      </c>
      <c r="K45">
        <f t="shared" si="0"/>
        <v>0</v>
      </c>
    </row>
    <row r="46" spans="1:11" x14ac:dyDescent="0.3">
      <c r="A46">
        <v>45</v>
      </c>
      <c r="K46">
        <f t="shared" si="0"/>
        <v>0</v>
      </c>
    </row>
    <row r="47" spans="1:11" x14ac:dyDescent="0.3">
      <c r="A47">
        <v>46</v>
      </c>
      <c r="K47">
        <f t="shared" si="0"/>
        <v>0</v>
      </c>
    </row>
    <row r="48" spans="1:11" x14ac:dyDescent="0.3">
      <c r="A48">
        <v>47</v>
      </c>
      <c r="K48">
        <f t="shared" si="0"/>
        <v>0</v>
      </c>
    </row>
    <row r="49" spans="1:11" x14ac:dyDescent="0.3">
      <c r="A49">
        <v>48</v>
      </c>
      <c r="K49">
        <f t="shared" si="0"/>
        <v>0</v>
      </c>
    </row>
    <row r="50" spans="1:11" x14ac:dyDescent="0.3">
      <c r="A50">
        <v>49</v>
      </c>
      <c r="K50">
        <f t="shared" si="0"/>
        <v>0</v>
      </c>
    </row>
    <row r="51" spans="1:11" x14ac:dyDescent="0.3">
      <c r="A51">
        <v>50</v>
      </c>
      <c r="K51">
        <f t="shared" si="0"/>
        <v>0</v>
      </c>
    </row>
  </sheetData>
  <hyperlinks>
    <hyperlink ref="J2" r:id="rId1" xr:uid="{D919EB83-3C3E-40EC-845A-325B67D09F83}"/>
    <hyperlink ref="J17" r:id="rId2" xr:uid="{9343FFB1-F745-47C8-A0C1-FCB57D166A61}"/>
    <hyperlink ref="J23" r:id="rId3" xr:uid="{17C9F4DD-EA3F-46AE-A520-4978F1697997}"/>
    <hyperlink ref="J4" r:id="rId4" xr:uid="{AA5C9B32-6368-4852-828F-734CB5476EE8}"/>
    <hyperlink ref="J7" r:id="rId5" xr:uid="{58930BA7-86FC-4DB6-84DA-6EF7CF7FAA13}"/>
    <hyperlink ref="J3" r:id="rId6" xr:uid="{F4902A74-C60D-4305-BE7A-1DDBF769E56D}"/>
    <hyperlink ref="J31" r:id="rId7" xr:uid="{2C039D2C-6DBB-4F11-BD3F-4632E21AA8D4}"/>
    <hyperlink ref="J9" r:id="rId8" xr:uid="{319B8DDF-4F2E-4F54-9375-14C6DCBB8F33}"/>
    <hyperlink ref="J8" r:id="rId9" xr:uid="{DD82B744-98C2-46A2-9268-7C2C0645965F}"/>
  </hyperlinks>
  <pageMargins left="0.75" right="0.75" top="1" bottom="1" header="0.5" footer="0.5"/>
  <pageSetup paperSize="9" orientation="landscape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BOM_Info</vt:lpstr>
      <vt:lpstr>BOM_Template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kwasnik</cp:lastModifiedBy>
  <dcterms:created xsi:type="dcterms:W3CDTF">2026-01-19T19:20:18Z</dcterms:created>
  <dcterms:modified xsi:type="dcterms:W3CDTF">2026-03-27T15:03:38Z</dcterms:modified>
</cp:coreProperties>
</file>